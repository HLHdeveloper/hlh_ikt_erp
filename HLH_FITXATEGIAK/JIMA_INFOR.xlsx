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<sst xmlns="http://schemas.openxmlformats.org/spreadsheetml/2006/main" count="71" uniqueCount="67">
  <si>
    <t>JIMA</t>
  </si>
  <si>
    <t>TITULUA: Mikroinformatika-sistemetako eta sareetako teknikaria
 TITULO: Técnico en Sistemas Microinformáticos y Redes</t>
  </si>
  <si>
    <t>KOD.
ESP.</t>
  </si>
  <si>
    <t>ESPEZIALITATEA</t>
  </si>
  <si>
    <t>KOD. MOD.</t>
  </si>
  <si>
    <t>LANBIDE MODULUA</t>
  </si>
  <si>
    <t>IRAUPEN OSOA</t>
  </si>
  <si>
    <t>Or / aste
H / Sem</t>
  </si>
  <si>
    <t>Or / Irakasle
H / Profesor</t>
  </si>
  <si>
    <t>B eredua</t>
  </si>
  <si>
    <t>Zikloko orduak enpresan
Horas del ciclo en la empresa</t>
  </si>
  <si>
    <t>ESPECIALIDAD</t>
  </si>
  <si>
    <t>MÓDULO PROFESIONAL</t>
  </si>
  <si>
    <t>DURA.TOTAL</t>
  </si>
  <si>
    <t>1º</t>
  </si>
  <si>
    <t>2º</t>
  </si>
  <si>
    <t>Total</t>
  </si>
  <si>
    <t>LEYENDA</t>
  </si>
  <si>
    <t>Morea: Lehendik dagoen lanbide-modulua, ikasturtez aldatzen dena
Morado: Modulo profesional ya existente que cambia de curso</t>
  </si>
  <si>
    <t>Gorria: modulu berriak ezarri ondoren
Rojo: nuevos módulos una vez implantados</t>
  </si>
  <si>
    <r>
      <rPr>
        <rFont val="Arial"/>
        <b/>
        <color theme="1"/>
        <sz val="12.0"/>
      </rPr>
      <t>Lehendik dagoen modulua eta ikasurte horretan emango ez dena (</t>
    </r>
    <r>
      <rPr>
        <rFont val="Arial"/>
        <b/>
        <color rgb="FF9900FF"/>
        <sz val="12.0"/>
      </rPr>
      <t>morea</t>
    </r>
    <r>
      <rPr>
        <rFont val="Arial"/>
        <b/>
        <color theme="1"/>
        <sz val="12.0"/>
      </rPr>
      <t xml:space="preserve"> edo beltza)
Módulo ya existente que no se imparte ese curso (</t>
    </r>
    <r>
      <rPr>
        <rFont val="Arial"/>
        <b/>
        <color rgb="FF9900FF"/>
        <sz val="12.0"/>
      </rPr>
      <t>morado</t>
    </r>
    <r>
      <rPr>
        <rFont val="Arial"/>
        <b/>
        <color theme="1"/>
        <sz val="12.0"/>
      </rPr>
      <t xml:space="preserve"> ó negro)</t>
    </r>
  </si>
  <si>
    <t>0237</t>
  </si>
  <si>
    <r>
      <rPr>
        <rFont val="Exo 2"/>
        <b/>
        <color theme="1"/>
        <sz val="10.0"/>
      </rPr>
      <t xml:space="preserve">0237
Informatika
</t>
    </r>
    <r>
      <rPr>
        <rFont val="Exo 2"/>
        <b val="0"/>
        <color theme="1"/>
        <sz val="10.0"/>
      </rPr>
      <t>Informática</t>
    </r>
  </si>
  <si>
    <t>0225</t>
  </si>
  <si>
    <r>
      <rPr>
        <rFont val="Exo 2"/>
        <b/>
        <color theme="1"/>
        <sz val="10.0"/>
      </rPr>
      <t xml:space="preserve">Sare lokalak
</t>
    </r>
    <r>
      <rPr>
        <rFont val="Exo 2"/>
        <b val="0"/>
        <color theme="1"/>
        <sz val="10.0"/>
      </rPr>
      <t xml:space="preserve">Redes locales </t>
    </r>
  </si>
  <si>
    <t>0226</t>
  </si>
  <si>
    <r>
      <rPr>
        <rFont val="Exo 2"/>
        <b/>
        <color theme="1"/>
      </rPr>
      <t xml:space="preserve">Informatika-segurtasuna
</t>
    </r>
    <r>
      <rPr>
        <rFont val="Exo 2"/>
        <b val="0"/>
        <color theme="1"/>
        <sz val="10.0"/>
      </rPr>
      <t>Seguridad informáticas</t>
    </r>
  </si>
  <si>
    <t>0227</t>
  </si>
  <si>
    <r>
      <rPr>
        <rFont val="Exo 2"/>
        <b/>
        <color theme="1"/>
      </rPr>
      <t xml:space="preserve">Sareko zerbitzuak
</t>
    </r>
    <r>
      <rPr>
        <rFont val="Exo 2"/>
        <b val="0"/>
        <color theme="1"/>
      </rPr>
      <t>Servicios en red</t>
    </r>
  </si>
  <si>
    <t>0228</t>
  </si>
  <si>
    <r>
      <rPr>
        <rFont val="Exo 2"/>
        <b/>
        <color theme="1"/>
        <sz val="10.0"/>
      </rPr>
      <t xml:space="preserve">Web aplikazioak
</t>
    </r>
    <r>
      <rPr>
        <rFont val="Exo 2"/>
        <b val="0"/>
        <color theme="1"/>
        <sz val="10.0"/>
      </rPr>
      <t>Aplicaciones web</t>
    </r>
  </si>
  <si>
    <r>
      <rPr>
        <rFont val="Exo 2"/>
        <b/>
        <color theme="1"/>
        <sz val="10.0"/>
      </rPr>
      <t xml:space="preserve">1555
Aplikazio informatikoetako sistemak
</t>
    </r>
    <r>
      <rPr>
        <rFont val="Exo 2"/>
        <b val="0"/>
        <color theme="1"/>
        <sz val="10.0"/>
      </rPr>
      <t>Sistemas y Aplicaciones Informáticas</t>
    </r>
  </si>
  <si>
    <t>0221</t>
  </si>
  <si>
    <r>
      <rPr>
        <rFont val="Exo 2"/>
        <b/>
        <color theme="1"/>
        <sz val="10.0"/>
      </rPr>
      <t xml:space="preserve">Tresneria muntatzea eta mantentzea
</t>
    </r>
    <r>
      <rPr>
        <rFont val="Exo 2"/>
        <b val="0"/>
        <color theme="1"/>
        <sz val="10.0"/>
      </rPr>
      <t>Montaje y mantenimiento de equipos</t>
    </r>
  </si>
  <si>
    <t>0222</t>
  </si>
  <si>
    <r>
      <rPr>
        <rFont val="Exo 2"/>
        <b/>
        <color theme="1"/>
      </rPr>
      <t xml:space="preserve">Postu bakarreko sistema eragileak
</t>
    </r>
    <r>
      <rPr>
        <rFont val="Exo 2"/>
        <b val="0"/>
        <color theme="1"/>
        <sz val="10.0"/>
      </rPr>
      <t>Sistemas Operativos</t>
    </r>
  </si>
  <si>
    <t>0223</t>
  </si>
  <si>
    <r>
      <rPr>
        <rFont val="Exo 2"/>
        <b/>
        <color rgb="FF9900FF"/>
      </rPr>
      <t xml:space="preserve">Bulegotika-aplikazioak
</t>
    </r>
    <r>
      <rPr>
        <rFont val="Exo 2"/>
        <b val="0"/>
        <color rgb="FF9900FF"/>
        <sz val="10.0"/>
      </rPr>
      <t xml:space="preserve">Aplicaciones ofimáticas </t>
    </r>
  </si>
  <si>
    <t>0224</t>
  </si>
  <si>
    <r>
      <rPr>
        <rFont val="Exo 2"/>
        <b/>
        <color theme="1"/>
        <sz val="10.0"/>
      </rPr>
      <t xml:space="preserve">Sareko sistema eragileak
</t>
    </r>
    <r>
      <rPr>
        <rFont val="Exo 2"/>
        <b val="0"/>
        <color theme="1"/>
        <sz val="10.0"/>
      </rPr>
      <t>Sistemas operativos en red</t>
    </r>
  </si>
  <si>
    <t>0103</t>
  </si>
  <si>
    <r>
      <rPr>
        <rFont val="Exo 2"/>
        <b/>
        <color theme="1"/>
        <sz val="10.0"/>
      </rPr>
      <t xml:space="preserve">0103
Ingelesa
</t>
    </r>
    <r>
      <rPr>
        <rFont val="Exo 2"/>
        <b val="0"/>
        <color theme="1"/>
        <sz val="10.0"/>
      </rPr>
      <t>Inglés</t>
    </r>
  </si>
  <si>
    <t>E100</t>
  </si>
  <si>
    <r>
      <rPr>
        <rFont val="Exo 2"/>
        <b/>
        <color theme="1"/>
      </rPr>
      <t xml:space="preserve">Ingeles teknikoa
</t>
    </r>
    <r>
      <rPr>
        <rFont val="Exo 2"/>
        <b val="0"/>
        <color theme="1"/>
        <sz val="10.0"/>
      </rPr>
      <t>Inglés técnico</t>
    </r>
  </si>
  <si>
    <t>0156</t>
  </si>
  <si>
    <r>
      <rPr>
        <rFont val="Exo 2"/>
        <b/>
        <color rgb="FFFF0000"/>
      </rPr>
      <t xml:space="preserve">Ingeles profesional
</t>
    </r>
    <r>
      <rPr>
        <rFont val="Exo 2"/>
        <b val="0"/>
        <color rgb="FFFF0000"/>
        <sz val="10.0"/>
      </rPr>
      <t>Inglés profesional</t>
    </r>
  </si>
  <si>
    <t>0298</t>
  </si>
  <si>
    <t>0298
Laneko prestakuntza eta orientabidea</t>
  </si>
  <si>
    <t>0229</t>
  </si>
  <si>
    <r>
      <rPr>
        <rFont val="Exo 2"/>
        <b/>
        <color rgb="FF000000"/>
        <sz val="10.0"/>
      </rPr>
      <t xml:space="preserve">Laneko prestakuntza eta orientabidea 
</t>
    </r>
    <r>
      <rPr>
        <rFont val="Exo 2"/>
        <b val="0"/>
        <color rgb="FF000000"/>
        <sz val="10.0"/>
      </rPr>
      <t>Formación y Orientación Laboral</t>
    </r>
  </si>
  <si>
    <t>1709</t>
  </si>
  <si>
    <r>
      <rPr>
        <rFont val="Exo 2"/>
        <b/>
        <color rgb="FFFF0000"/>
        <sz val="10.0"/>
      </rPr>
      <t xml:space="preserve">Enplegagarritasunerako ibilbide pertsonala I
</t>
    </r>
    <r>
      <rPr>
        <rFont val="Exo 2"/>
        <b val="0"/>
        <color rgb="FFFF0000"/>
        <sz val="10.0"/>
      </rPr>
      <t>Itinerario personal para la empleabilidad I</t>
    </r>
  </si>
  <si>
    <t>0230</t>
  </si>
  <si>
    <r>
      <rPr>
        <rFont val="Exo 2"/>
        <b/>
        <color theme="1"/>
        <sz val="10.0"/>
      </rPr>
      <t xml:space="preserve">Enpresa eta ekimena
</t>
    </r>
    <r>
      <rPr>
        <rFont val="Exo 2"/>
        <b val="0"/>
        <color theme="1"/>
        <sz val="10.0"/>
      </rPr>
      <t>Empresa e iniciativa emprendedora</t>
    </r>
  </si>
  <si>
    <t>1710</t>
  </si>
  <si>
    <r>
      <rPr>
        <rFont val="Exo 2"/>
        <b/>
        <color rgb="FFFF0000"/>
      </rPr>
      <t xml:space="preserve">Enplegagarritasunerako ibilbide pertsonala II
</t>
    </r>
    <r>
      <rPr>
        <rFont val="Exo 2"/>
        <b val="0"/>
        <color rgb="FFFF0000"/>
        <sz val="10.0"/>
      </rPr>
      <t>Itinerario personal para la empleabilidad II</t>
    </r>
  </si>
  <si>
    <t>0237-1555</t>
  </si>
  <si>
    <r>
      <rPr>
        <rFont val="Exo 2"/>
        <b/>
        <color theme="1"/>
        <sz val="10.0"/>
      </rPr>
      <t xml:space="preserve">0237-1555
Informatika / Aplikazio informatikoetako sistemak
</t>
    </r>
    <r>
      <rPr>
        <rFont val="Exo 2"/>
        <b val="0"/>
        <color theme="1"/>
        <sz val="10.0"/>
      </rPr>
      <t>Informática / Sistemas y Aplicaciones Informáticas</t>
    </r>
  </si>
  <si>
    <t>1664</t>
  </si>
  <si>
    <r>
      <rPr>
        <rFont val="Exo 2"/>
        <b/>
        <color rgb="FFFF0000"/>
      </rPr>
      <t xml:space="preserve">Produkzio-sektoreei aplikatutako digitalizazioa
</t>
    </r>
    <r>
      <rPr>
        <rFont val="Exo 2"/>
        <b val="0"/>
        <color rgb="FFFF0000"/>
        <sz val="10.0"/>
      </rPr>
      <t>Digitalización aplicada a los sectores productivos</t>
    </r>
  </si>
  <si>
    <t>1708</t>
  </si>
  <si>
    <r>
      <rPr>
        <rFont val="Exo 2"/>
        <b/>
        <color rgb="FFFF0000"/>
      </rPr>
      <t xml:space="preserve">Produkzio-sistemari aplikatutako iraunkortasuna
</t>
    </r>
    <r>
      <rPr>
        <rFont val="Exo 2"/>
        <b val="0"/>
        <color rgb="FFFF0000"/>
        <sz val="10.0"/>
      </rPr>
      <t>Sostenibilidad aplicada al sistema productivo</t>
    </r>
  </si>
  <si>
    <r>
      <rPr>
        <rFont val="Exo 2"/>
        <b/>
        <color rgb="FFFF0000"/>
      </rPr>
      <t xml:space="preserve">Proiektu intermodularra
</t>
    </r>
    <r>
      <rPr>
        <rFont val="Exo 2"/>
        <b val="0"/>
        <color rgb="FFFF0000"/>
        <sz val="10.0"/>
      </rPr>
      <t>Proyecto intermodular</t>
    </r>
  </si>
  <si>
    <t xml:space="preserve"> 0237 / 1555</t>
  </si>
  <si>
    <r>
      <rPr>
        <rFont val="Exo 2"/>
        <b/>
        <color theme="1"/>
      </rPr>
      <t xml:space="preserve"> 0237 / 1555
 Informatika / Aplikazio informatikoetako sistemak / 
</t>
    </r>
    <r>
      <rPr>
        <rFont val="Exo 2"/>
        <b val="0"/>
        <color theme="1"/>
        <sz val="10.0"/>
      </rPr>
      <t xml:space="preserve"> Informática / Sistemas y Aplicaciones Informáticas</t>
    </r>
  </si>
  <si>
    <r>
      <rPr>
        <rFont val="Exo 2"/>
        <b/>
        <color rgb="FFFF0000"/>
      </rPr>
      <t xml:space="preserve">Hautazko modulua(k)
</t>
    </r>
    <r>
      <rPr>
        <rFont val="Exo 2"/>
        <b val="0"/>
        <color rgb="FFFF0000"/>
        <sz val="10.0"/>
      </rPr>
      <t>Módulo(s) optativos(s)</t>
    </r>
  </si>
  <si>
    <r>
      <rPr>
        <rFont val="Exo 2"/>
        <b/>
        <color theme="1"/>
        <sz val="14.0"/>
      </rPr>
      <t xml:space="preserve">ORDU GUZTIRA / </t>
    </r>
    <r>
      <rPr>
        <rFont val="Exo 2"/>
        <b val="0"/>
        <color theme="1"/>
        <sz val="14.0"/>
      </rPr>
      <t>TOTAL HORAS 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</si>
</sst>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b/>
      <sz val="16.0"/>
      <color theme="1"/>
      <name val="Exo 2"/>
    </font>
    <font/>
    <font>
      <color theme="1"/>
      <name val="Aptos Narrow"/>
    </font>
    <font>
      <b/>
      <color theme="1"/>
      <name val="Exo 2"/>
    </font>
    <font>
      <b/>
      <sz val="12.0"/>
      <color rgb="FF9900FF"/>
      <name val="Exo 2"/>
    </font>
    <font>
      <b/>
      <sz val="12.0"/>
      <color rgb="FFFF0000"/>
      <name val="Arial"/>
    </font>
    <font>
      <b/>
      <sz val="12.0"/>
      <color theme="1"/>
      <name val="Arial"/>
    </font>
    <font>
      <color theme="1"/>
      <name val="Exo 2"/>
    </font>
    <font>
      <b/>
      <color rgb="FF9900FF"/>
      <name val="Exo 2"/>
    </font>
    <font>
      <b/>
      <color rgb="FFFF0000"/>
      <name val="Exo 2"/>
    </font>
    <font>
      <b/>
      <sz val="14.0"/>
      <color theme="1"/>
      <name val="Exo 2"/>
    </font>
  </fonts>
  <fills count="8">
    <fill>
      <patternFill patternType="none"/>
    </fill>
    <fill>
      <patternFill patternType="lightGray"/>
    </fill>
    <fill>
      <patternFill patternType="solid">
        <fgColor rgb="FFD9EDD3"/>
        <bgColor rgb="FFD9EDD3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CD5B4"/>
        <bgColor rgb="FFFCD5B4"/>
      </patternFill>
    </fill>
    <fill>
      <patternFill patternType="solid">
        <fgColor rgb="FFDAEEF3"/>
        <bgColor rgb="FFDAEEF3"/>
      </patternFill>
    </fill>
  </fills>
  <borders count="58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/>
    </border>
    <border>
      <left/>
      <right style="double">
        <color rgb="FF000000"/>
      </right>
      <top/>
      <bottom/>
    </border>
    <border>
      <left style="dotted">
        <color rgb="FF0000FF"/>
      </left>
      <right/>
      <top/>
      <bottom/>
    </border>
    <border>
      <left style="double">
        <color rgb="FF000000"/>
      </left>
      <right/>
      <top/>
      <bottom/>
    </border>
    <border>
      <left style="double">
        <color rgb="FF000000"/>
      </left>
      <top/>
      <bottom style="double">
        <color rgb="FF000000"/>
      </bottom>
    </border>
    <border>
      <right style="double">
        <color rgb="FF000000"/>
      </right>
      <top/>
      <bottom style="double">
        <color rgb="FF000000"/>
      </bottom>
    </border>
    <border>
      <top/>
      <bottom style="double">
        <color rgb="FF000000"/>
      </bottom>
    </border>
    <border>
      <left style="double">
        <color rgb="FF000000"/>
      </left>
      <right style="double">
        <color rgb="FF000000"/>
      </right>
      <bottom/>
    </border>
    <border>
      <left style="double">
        <color rgb="FF000000"/>
      </left>
      <right style="double">
        <color rgb="FF000000"/>
      </right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double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/>
      <right style="thin">
        <color rgb="FF000000"/>
      </right>
      <top style="double">
        <color rgb="FF000000"/>
      </top>
      <bottom/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double">
        <color rgb="FF000000"/>
      </right>
    </border>
    <border>
      <left style="dotted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left style="dotted">
        <color rgb="FF0000FF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thin">
        <color rgb="FF000000"/>
      </bottom>
    </border>
    <border>
      <left style="dotted">
        <color rgb="FF0000FF"/>
      </left>
      <right style="thin">
        <color rgb="FF000000"/>
      </right>
      <top style="double">
        <color rgb="FF000000"/>
      </top>
      <bottom style="thin">
        <color rgb="FF000000"/>
      </bottom>
    </border>
    <border>
      <left/>
      <right style="double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double">
        <color rgb="FF000000"/>
      </right>
      <top style="double">
        <color rgb="FF000000"/>
      </top>
      <bottom/>
    </border>
    <border>
      <left style="thin">
        <color rgb="FF000000"/>
      </left>
      <right style="double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left style="double">
        <color rgb="FF000000"/>
      </left>
      <right/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5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 shrinkToFit="0" wrapText="1"/>
    </xf>
    <xf borderId="7" fillId="2" fontId="4" numFmtId="0" xfId="0" applyAlignment="1" applyBorder="1" applyFont="1">
      <alignment horizontal="center"/>
    </xf>
    <xf borderId="8" fillId="2" fontId="4" numFmtId="0" xfId="0" applyAlignment="1" applyBorder="1" applyFont="1">
      <alignment horizontal="center"/>
    </xf>
    <xf borderId="9" fillId="2" fontId="4" numFmtId="0" xfId="0" applyAlignment="1" applyBorder="1" applyFont="1">
      <alignment horizontal="center" shrinkToFit="0" wrapText="1"/>
    </xf>
    <xf borderId="10" fillId="0" fontId="2" numFmtId="0" xfId="0" applyBorder="1" applyFont="1"/>
    <xf borderId="11" fillId="0" fontId="2" numFmtId="0" xfId="0" applyBorder="1" applyFont="1"/>
    <xf borderId="9" fillId="2" fontId="4" numFmtId="0" xfId="0" applyAlignment="1" applyBorder="1" applyFont="1">
      <alignment horizontal="center"/>
    </xf>
    <xf borderId="12" fillId="0" fontId="2" numFmtId="0" xfId="0" applyBorder="1" applyFont="1"/>
    <xf borderId="13" fillId="2" fontId="4" numFmtId="0" xfId="0" applyAlignment="1" applyBorder="1" applyFont="1">
      <alignment horizontal="center"/>
    </xf>
    <xf borderId="14" fillId="2" fontId="4" numFmtId="0" xfId="0" applyAlignment="1" applyBorder="1" applyFont="1">
      <alignment horizontal="center"/>
    </xf>
    <xf borderId="15" fillId="0" fontId="2" numFmtId="0" xfId="0" applyBorder="1" applyFont="1"/>
    <xf borderId="2" fillId="3" fontId="1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 shrinkToFit="0" wrapText="1"/>
    </xf>
    <xf borderId="2" fillId="4" fontId="7" numFmtId="0" xfId="0" applyAlignment="1" applyBorder="1" applyFill="1" applyFont="1">
      <alignment horizontal="center" shrinkToFit="0" wrapText="1"/>
    </xf>
    <xf borderId="2" fillId="3" fontId="3" numFmtId="0" xfId="0" applyBorder="1" applyFont="1"/>
    <xf borderId="16" fillId="5" fontId="4" numFmtId="49" xfId="0" applyAlignment="1" applyBorder="1" applyFill="1" applyFont="1" applyNumberFormat="1">
      <alignment horizontal="center" shrinkToFit="0" wrapText="1"/>
    </xf>
    <xf borderId="16" fillId="5" fontId="4" numFmtId="0" xfId="0" applyAlignment="1" applyBorder="1" applyFont="1">
      <alignment horizontal="center" shrinkToFit="0" wrapText="1"/>
    </xf>
    <xf borderId="17" fillId="5" fontId="4" numFmtId="49" xfId="0" applyAlignment="1" applyBorder="1" applyFont="1" applyNumberFormat="1">
      <alignment horizontal="center" shrinkToFit="0" wrapText="1"/>
    </xf>
    <xf borderId="17" fillId="5" fontId="4" numFmtId="0" xfId="0" applyAlignment="1" applyBorder="1" applyFont="1">
      <alignment shrinkToFit="0" wrapText="1"/>
    </xf>
    <xf borderId="18" fillId="5" fontId="4" numFmtId="0" xfId="0" applyAlignment="1" applyBorder="1" applyFont="1">
      <alignment horizontal="center" shrinkToFit="0" wrapText="1"/>
    </xf>
    <xf borderId="19" fillId="0" fontId="4" numFmtId="1" xfId="0" applyAlignment="1" applyBorder="1" applyFont="1" applyNumberFormat="1">
      <alignment horizontal="center" shrinkToFit="0" wrapText="1"/>
    </xf>
    <xf borderId="20" fillId="0" fontId="3" numFmtId="164" xfId="0" applyBorder="1" applyFont="1" applyNumberFormat="1"/>
    <xf borderId="21" fillId="6" fontId="8" numFmtId="164" xfId="0" applyAlignment="1" applyBorder="1" applyFill="1" applyFont="1" applyNumberFormat="1">
      <alignment horizontal="center" shrinkToFit="0" wrapText="1"/>
    </xf>
    <xf borderId="22" fillId="6" fontId="3" numFmtId="164" xfId="0" applyBorder="1" applyFont="1" applyNumberFormat="1"/>
    <xf borderId="20" fillId="6" fontId="8" numFmtId="164" xfId="0" applyAlignment="1" applyBorder="1" applyFont="1" applyNumberFormat="1">
      <alignment horizontal="center" shrinkToFit="0" wrapText="1"/>
    </xf>
    <xf borderId="19" fillId="0" fontId="3" numFmtId="164" xfId="0" applyBorder="1" applyFont="1" applyNumberFormat="1"/>
    <xf borderId="23" fillId="7" fontId="8" numFmtId="1" xfId="0" applyAlignment="1" applyBorder="1" applyFill="1" applyFont="1" applyNumberFormat="1">
      <alignment horizontal="center" shrinkToFit="0" wrapText="1"/>
    </xf>
    <xf borderId="24" fillId="0" fontId="2" numFmtId="0" xfId="0" applyBorder="1" applyFont="1"/>
    <xf borderId="25" fillId="5" fontId="4" numFmtId="49" xfId="0" applyAlignment="1" applyBorder="1" applyFont="1" applyNumberFormat="1">
      <alignment horizontal="center" shrinkToFit="0" wrapText="1"/>
    </xf>
    <xf borderId="26" fillId="5" fontId="4" numFmtId="0" xfId="0" applyAlignment="1" applyBorder="1" applyFont="1">
      <alignment shrinkToFit="0" wrapText="1"/>
    </xf>
    <xf borderId="27" fillId="5" fontId="4" numFmtId="0" xfId="0" applyAlignment="1" applyBorder="1" applyFont="1">
      <alignment horizontal="center" shrinkToFit="0" wrapText="1"/>
    </xf>
    <xf borderId="28" fillId="0" fontId="4" numFmtId="1" xfId="0" applyAlignment="1" applyBorder="1" applyFont="1" applyNumberFormat="1">
      <alignment horizontal="center" shrinkToFit="0" wrapText="1"/>
    </xf>
    <xf borderId="29" fillId="0" fontId="3" numFmtId="164" xfId="0" applyBorder="1" applyFont="1" applyNumberFormat="1"/>
    <xf borderId="30" fillId="6" fontId="8" numFmtId="164" xfId="0" applyAlignment="1" applyBorder="1" applyFont="1" applyNumberFormat="1">
      <alignment horizontal="center" shrinkToFit="0" wrapText="1"/>
    </xf>
    <xf borderId="31" fillId="6" fontId="3" numFmtId="164" xfId="0" applyBorder="1" applyFont="1" applyNumberFormat="1"/>
    <xf borderId="32" fillId="0" fontId="2" numFmtId="0" xfId="0" applyBorder="1" applyFont="1"/>
    <xf borderId="28" fillId="0" fontId="8" numFmtId="164" xfId="0" applyAlignment="1" applyBorder="1" applyFont="1" applyNumberFormat="1">
      <alignment horizontal="center" shrinkToFit="0" wrapText="1"/>
    </xf>
    <xf borderId="33" fillId="5" fontId="4" numFmtId="0" xfId="0" applyAlignment="1" applyBorder="1" applyFont="1">
      <alignment shrinkToFit="0" wrapText="1"/>
    </xf>
    <xf borderId="28" fillId="0" fontId="3" numFmtId="164" xfId="0" applyBorder="1" applyFont="1" applyNumberFormat="1"/>
    <xf borderId="29" fillId="0" fontId="4" numFmtId="1" xfId="0" applyAlignment="1" applyBorder="1" applyFont="1" applyNumberFormat="1">
      <alignment horizontal="center" shrinkToFit="0" wrapText="1"/>
    </xf>
    <xf borderId="34" fillId="6" fontId="3" numFmtId="164" xfId="0" applyBorder="1" applyFont="1" applyNumberFormat="1"/>
    <xf borderId="31" fillId="6" fontId="8" numFmtId="164" xfId="0" applyAlignment="1" applyBorder="1" applyFont="1" applyNumberFormat="1">
      <alignment horizontal="center" shrinkToFit="0" wrapText="1"/>
    </xf>
    <xf borderId="29" fillId="0" fontId="8" numFmtId="164" xfId="0" applyAlignment="1" applyBorder="1" applyFont="1" applyNumberFormat="1">
      <alignment horizontal="center" shrinkToFit="0" wrapText="1"/>
    </xf>
    <xf borderId="35" fillId="0" fontId="2" numFmtId="0" xfId="0" applyBorder="1" applyFont="1"/>
    <xf borderId="36" fillId="5" fontId="4" numFmtId="49" xfId="0" applyAlignment="1" applyBorder="1" applyFont="1" applyNumberFormat="1">
      <alignment horizontal="center" shrinkToFit="0" wrapText="1"/>
    </xf>
    <xf borderId="37" fillId="5" fontId="4" numFmtId="0" xfId="0" applyAlignment="1" applyBorder="1" applyFont="1">
      <alignment shrinkToFit="0" wrapText="1"/>
    </xf>
    <xf borderId="38" fillId="5" fontId="4" numFmtId="0" xfId="0" applyAlignment="1" applyBorder="1" applyFont="1">
      <alignment horizontal="center" shrinkToFit="0" wrapText="1"/>
    </xf>
    <xf borderId="39" fillId="0" fontId="3" numFmtId="164" xfId="0" applyBorder="1" applyFont="1" applyNumberFormat="1"/>
    <xf borderId="38" fillId="0" fontId="4" numFmtId="1" xfId="0" applyAlignment="1" applyBorder="1" applyFont="1" applyNumberFormat="1">
      <alignment horizontal="center" shrinkToFit="0" wrapText="1"/>
    </xf>
    <xf borderId="39" fillId="6" fontId="3" numFmtId="164" xfId="0" applyBorder="1" applyFont="1" applyNumberFormat="1"/>
    <xf borderId="40" fillId="0" fontId="2" numFmtId="0" xfId="0" applyBorder="1" applyFont="1"/>
    <xf borderId="38" fillId="0" fontId="3" numFmtId="164" xfId="0" applyBorder="1" applyFont="1" applyNumberFormat="1"/>
    <xf borderId="41" fillId="7" fontId="8" numFmtId="1" xfId="0" applyAlignment="1" applyBorder="1" applyFont="1" applyNumberFormat="1">
      <alignment horizontal="center" shrinkToFit="0" wrapText="1"/>
    </xf>
    <xf borderId="0" fillId="0" fontId="3" numFmtId="164" xfId="0" applyFont="1" applyNumberFormat="1"/>
    <xf borderId="42" fillId="5" fontId="4" numFmtId="49" xfId="0" applyAlignment="1" applyBorder="1" applyFont="1" applyNumberFormat="1">
      <alignment horizontal="center" shrinkToFit="0" wrapText="1"/>
    </xf>
    <xf borderId="43" fillId="5" fontId="4" numFmtId="0" xfId="0" applyAlignment="1" applyBorder="1" applyFont="1">
      <alignment shrinkToFit="0" wrapText="1"/>
    </xf>
    <xf borderId="19" fillId="0" fontId="8" numFmtId="164" xfId="0" applyAlignment="1" applyBorder="1" applyFont="1" applyNumberFormat="1">
      <alignment horizontal="center" shrinkToFit="0" wrapText="1"/>
    </xf>
    <xf borderId="44" fillId="7" fontId="8" numFmtId="1" xfId="0" applyAlignment="1" applyBorder="1" applyFont="1" applyNumberFormat="1">
      <alignment horizontal="center" shrinkToFit="0" wrapText="1"/>
    </xf>
    <xf borderId="45" fillId="5" fontId="4" numFmtId="49" xfId="0" applyAlignment="1" applyBorder="1" applyFont="1" applyNumberFormat="1">
      <alignment horizontal="center" shrinkToFit="0" wrapText="1"/>
    </xf>
    <xf borderId="46" fillId="6" fontId="8" numFmtId="164" xfId="0" applyAlignment="1" applyBorder="1" applyFont="1" applyNumberFormat="1">
      <alignment horizontal="center" shrinkToFit="0" wrapText="1"/>
    </xf>
    <xf borderId="45" fillId="5" fontId="9" numFmtId="49" xfId="0" applyAlignment="1" applyBorder="1" applyFont="1" applyNumberFormat="1">
      <alignment horizontal="center" shrinkToFit="0" wrapText="1"/>
    </xf>
    <xf borderId="33" fillId="5" fontId="9" numFmtId="0" xfId="0" applyAlignment="1" applyBorder="1" applyFont="1">
      <alignment shrinkToFit="0" wrapText="1"/>
    </xf>
    <xf borderId="27" fillId="5" fontId="9" numFmtId="0" xfId="0" applyAlignment="1" applyBorder="1" applyFont="1">
      <alignment horizontal="center" shrinkToFit="0" wrapText="1"/>
    </xf>
    <xf borderId="28" fillId="0" fontId="3" numFmtId="1" xfId="0" applyBorder="1" applyFont="1" applyNumberFormat="1"/>
    <xf borderId="31" fillId="6" fontId="9" numFmtId="164" xfId="0" applyAlignment="1" applyBorder="1" applyFont="1" applyNumberFormat="1">
      <alignment horizontal="center" shrinkToFit="0" wrapText="1"/>
    </xf>
    <xf borderId="23" fillId="7" fontId="9" numFmtId="1" xfId="0" applyAlignment="1" applyBorder="1" applyFont="1" applyNumberFormat="1">
      <alignment horizontal="center" shrinkToFit="0" wrapText="1"/>
    </xf>
    <xf borderId="47" fillId="5" fontId="4" numFmtId="49" xfId="0" applyAlignment="1" applyBorder="1" applyFont="1" applyNumberFormat="1">
      <alignment horizontal="center" shrinkToFit="0" wrapText="1"/>
    </xf>
    <xf borderId="38" fillId="0" fontId="8" numFmtId="164" xfId="0" applyAlignment="1" applyBorder="1" applyFont="1" applyNumberFormat="1">
      <alignment horizontal="center" shrinkToFit="0" wrapText="1"/>
    </xf>
    <xf borderId="42" fillId="4" fontId="4" numFmtId="49" xfId="0" applyAlignment="1" applyBorder="1" applyFont="1" applyNumberFormat="1">
      <alignment horizontal="center"/>
    </xf>
    <xf borderId="42" fillId="4" fontId="4" numFmtId="0" xfId="0" applyAlignment="1" applyBorder="1" applyFont="1">
      <alignment shrinkToFit="0" wrapText="1"/>
    </xf>
    <xf borderId="18" fillId="4" fontId="3" numFmtId="0" xfId="0" applyBorder="1" applyFont="1"/>
    <xf borderId="48" fillId="4" fontId="3" numFmtId="1" xfId="0" applyBorder="1" applyFont="1" applyNumberFormat="1"/>
    <xf borderId="49" fillId="4" fontId="3" numFmtId="164" xfId="0" applyBorder="1" applyFont="1" applyNumberFormat="1"/>
    <xf borderId="21" fillId="4" fontId="3" numFmtId="164" xfId="0" applyBorder="1" applyFont="1" applyNumberFormat="1"/>
    <xf borderId="22" fillId="4" fontId="3" numFmtId="164" xfId="0" applyBorder="1" applyFont="1" applyNumberFormat="1"/>
    <xf borderId="47" fillId="5" fontId="10" numFmtId="49" xfId="0" applyAlignment="1" applyBorder="1" applyFont="1" applyNumberFormat="1">
      <alignment horizontal="center" shrinkToFit="0" wrapText="1"/>
    </xf>
    <xf borderId="47" fillId="5" fontId="10" numFmtId="0" xfId="0" applyAlignment="1" applyBorder="1" applyFont="1">
      <alignment shrinkToFit="0" wrapText="1"/>
    </xf>
    <xf borderId="38" fillId="5" fontId="10" numFmtId="0" xfId="0" applyAlignment="1" applyBorder="1" applyFont="1">
      <alignment horizontal="center" shrinkToFit="0" wrapText="1"/>
    </xf>
    <xf borderId="39" fillId="0" fontId="10" numFmtId="1" xfId="0" applyAlignment="1" applyBorder="1" applyFont="1" applyNumberFormat="1">
      <alignment horizontal="center" shrinkToFit="0" wrapText="1"/>
    </xf>
    <xf borderId="39" fillId="6" fontId="10" numFmtId="164" xfId="0" applyAlignment="1" applyBorder="1" applyFont="1" applyNumberFormat="1">
      <alignment horizontal="center" shrinkToFit="0" wrapText="1"/>
    </xf>
    <xf borderId="47" fillId="6" fontId="3" numFmtId="164" xfId="0" applyBorder="1" applyFont="1" applyNumberFormat="1"/>
    <xf borderId="42" fillId="4" fontId="4" numFmtId="49" xfId="0" applyAlignment="1" applyBorder="1" applyFont="1" applyNumberFormat="1">
      <alignment horizontal="center" shrinkToFit="0" wrapText="1"/>
    </xf>
    <xf borderId="43" fillId="4" fontId="4" numFmtId="0" xfId="0" applyAlignment="1" applyBorder="1" applyFont="1">
      <alignment shrinkToFit="0" wrapText="1"/>
    </xf>
    <xf borderId="48" fillId="4" fontId="3" numFmtId="164" xfId="0" applyBorder="1" applyFont="1" applyNumberFormat="1"/>
    <xf borderId="49" fillId="4" fontId="3" numFmtId="1" xfId="0" applyBorder="1" applyFont="1" applyNumberFormat="1"/>
    <xf borderId="46" fillId="4" fontId="3" numFmtId="164" xfId="0" applyBorder="1" applyFont="1" applyNumberFormat="1"/>
    <xf borderId="31" fillId="4" fontId="3" numFmtId="164" xfId="0" applyBorder="1" applyFont="1" applyNumberFormat="1"/>
    <xf borderId="45" fillId="5" fontId="10" numFmtId="49" xfId="0" applyAlignment="1" applyBorder="1" applyFont="1" applyNumberFormat="1">
      <alignment horizontal="center" shrinkToFit="0" wrapText="1"/>
    </xf>
    <xf borderId="33" fillId="5" fontId="10" numFmtId="0" xfId="0" applyAlignment="1" applyBorder="1" applyFont="1">
      <alignment shrinkToFit="0" wrapText="1"/>
    </xf>
    <xf borderId="27" fillId="5" fontId="10" numFmtId="0" xfId="0" applyAlignment="1" applyBorder="1" applyFont="1">
      <alignment horizontal="center" shrinkToFit="0" wrapText="1"/>
    </xf>
    <xf borderId="28" fillId="0" fontId="10" numFmtId="1" xfId="0" applyAlignment="1" applyBorder="1" applyFont="1" applyNumberFormat="1">
      <alignment horizontal="center" shrinkToFit="0" wrapText="1"/>
    </xf>
    <xf borderId="46" fillId="6" fontId="10" numFmtId="164" xfId="0" applyAlignment="1" applyBorder="1" applyFont="1" applyNumberFormat="1">
      <alignment horizontal="center" shrinkToFit="0" wrapText="1"/>
    </xf>
    <xf borderId="45" fillId="4" fontId="4" numFmtId="49" xfId="0" applyAlignment="1" applyBorder="1" applyFont="1" applyNumberFormat="1">
      <alignment horizontal="center" shrinkToFit="0" wrapText="1"/>
    </xf>
    <xf borderId="33" fillId="4" fontId="4" numFmtId="0" xfId="0" applyAlignment="1" applyBorder="1" applyFont="1">
      <alignment shrinkToFit="0" wrapText="1"/>
    </xf>
    <xf borderId="27" fillId="4" fontId="3" numFmtId="0" xfId="0" applyBorder="1" applyFont="1"/>
    <xf borderId="34" fillId="4" fontId="3" numFmtId="164" xfId="0" applyBorder="1" applyFont="1" applyNumberFormat="1"/>
    <xf borderId="50" fillId="4" fontId="3" numFmtId="1" xfId="0" applyBorder="1" applyFont="1" applyNumberFormat="1"/>
    <xf borderId="38" fillId="0" fontId="10" numFmtId="1" xfId="0" applyAlignment="1" applyBorder="1" applyFont="1" applyNumberFormat="1">
      <alignment horizontal="center" shrinkToFit="0" wrapText="1"/>
    </xf>
    <xf borderId="47" fillId="6" fontId="10" numFmtId="164" xfId="0" applyAlignment="1" applyBorder="1" applyFont="1" applyNumberFormat="1">
      <alignment horizontal="center" shrinkToFit="0" wrapText="1"/>
    </xf>
    <xf borderId="22" fillId="5" fontId="10" numFmtId="49" xfId="0" applyAlignment="1" applyBorder="1" applyFont="1" applyNumberFormat="1">
      <alignment horizontal="center" shrinkToFit="0" wrapText="1"/>
    </xf>
    <xf borderId="42" fillId="5" fontId="10" numFmtId="0" xfId="0" applyAlignment="1" applyBorder="1" applyFont="1">
      <alignment shrinkToFit="0" wrapText="1"/>
    </xf>
    <xf borderId="18" fillId="5" fontId="10" numFmtId="0" xfId="0" applyAlignment="1" applyBorder="1" applyFont="1">
      <alignment horizontal="center" shrinkToFit="0" wrapText="1"/>
    </xf>
    <xf borderId="19" fillId="0" fontId="10" numFmtId="1" xfId="0" applyAlignment="1" applyBorder="1" applyFont="1" applyNumberFormat="1">
      <alignment horizontal="center" shrinkToFit="0" wrapText="1"/>
    </xf>
    <xf borderId="46" fillId="6" fontId="3" numFmtId="164" xfId="0" applyBorder="1" applyFont="1" applyNumberFormat="1"/>
    <xf borderId="17" fillId="6" fontId="3" numFmtId="164" xfId="0" applyBorder="1" applyFont="1" applyNumberFormat="1"/>
    <xf borderId="44" fillId="7" fontId="3" numFmtId="1" xfId="0" applyBorder="1" applyFont="1" applyNumberFormat="1"/>
    <xf borderId="31" fillId="5" fontId="10" numFmtId="49" xfId="0" applyAlignment="1" applyBorder="1" applyFont="1" applyNumberFormat="1">
      <alignment horizontal="center" shrinkToFit="0" wrapText="1"/>
    </xf>
    <xf borderId="45" fillId="5" fontId="10" numFmtId="0" xfId="0" applyAlignment="1" applyBorder="1" applyFont="1">
      <alignment shrinkToFit="0" wrapText="1"/>
    </xf>
    <xf borderId="29" fillId="0" fontId="10" numFmtId="1" xfId="0" applyAlignment="1" applyBorder="1" applyFont="1" applyNumberFormat="1">
      <alignment horizontal="center" shrinkToFit="0" wrapText="1"/>
    </xf>
    <xf borderId="26" fillId="6" fontId="3" numFmtId="164" xfId="0" applyBorder="1" applyFont="1" applyNumberFormat="1"/>
    <xf borderId="23" fillId="7" fontId="3" numFmtId="1" xfId="0" applyBorder="1" applyFont="1" applyNumberFormat="1"/>
    <xf borderId="47" fillId="5" fontId="3" numFmtId="49" xfId="0" applyBorder="1" applyFont="1" applyNumberFormat="1"/>
    <xf borderId="51" fillId="5" fontId="10" numFmtId="0" xfId="0" applyAlignment="1" applyBorder="1" applyFont="1">
      <alignment shrinkToFit="0" wrapText="1"/>
    </xf>
    <xf borderId="38" fillId="0" fontId="3" numFmtId="1" xfId="0" applyBorder="1" applyFont="1" applyNumberFormat="1"/>
    <xf borderId="26" fillId="6" fontId="10" numFmtId="164" xfId="0" applyAlignment="1" applyBorder="1" applyFont="1" applyNumberFormat="1">
      <alignment horizontal="center" shrinkToFit="0" wrapText="1"/>
    </xf>
    <xf borderId="41" fillId="7" fontId="3" numFmtId="1" xfId="0" applyBorder="1" applyFont="1" applyNumberFormat="1"/>
    <xf borderId="25" fillId="5" fontId="4" numFmtId="0" xfId="0" applyAlignment="1" applyBorder="1" applyFont="1">
      <alignment horizontal="center"/>
    </xf>
    <xf borderId="52" fillId="5" fontId="4" numFmtId="0" xfId="0" applyAlignment="1" applyBorder="1" applyFont="1">
      <alignment horizontal="center" shrinkToFit="0" wrapText="1"/>
    </xf>
    <xf borderId="52" fillId="5" fontId="3" numFmtId="49" xfId="0" applyBorder="1" applyFont="1" applyNumberFormat="1"/>
    <xf borderId="52" fillId="5" fontId="10" numFmtId="0" xfId="0" applyAlignment="1" applyBorder="1" applyFont="1">
      <alignment shrinkToFit="0" wrapText="1"/>
    </xf>
    <xf borderId="52" fillId="5" fontId="10" numFmtId="0" xfId="0" applyAlignment="1" applyBorder="1" applyFont="1">
      <alignment horizontal="center" shrinkToFit="0" wrapText="1"/>
    </xf>
    <xf borderId="53" fillId="0" fontId="3" numFmtId="164" xfId="0" applyBorder="1" applyFont="1" applyNumberFormat="1"/>
    <xf borderId="54" fillId="0" fontId="10" numFmtId="1" xfId="0" applyAlignment="1" applyBorder="1" applyFont="1" applyNumberFormat="1">
      <alignment horizontal="center" shrinkToFit="0" wrapText="1"/>
    </xf>
    <xf borderId="55" fillId="6" fontId="3" numFmtId="164" xfId="0" applyBorder="1" applyFont="1" applyNumberFormat="1"/>
    <xf borderId="54" fillId="0" fontId="3" numFmtId="164" xfId="0" applyBorder="1" applyFont="1" applyNumberFormat="1"/>
    <xf borderId="2" fillId="2" fontId="11" numFmtId="0" xfId="0" applyAlignment="1" applyBorder="1" applyFont="1">
      <alignment horizontal="right"/>
    </xf>
    <xf borderId="56" fillId="0" fontId="2" numFmtId="0" xfId="0" applyBorder="1" applyFont="1"/>
    <xf borderId="1" fillId="0" fontId="3" numFmtId="164" xfId="0" applyBorder="1" applyFont="1" applyNumberFormat="1"/>
    <xf borderId="4" fillId="0" fontId="8" numFmtId="164" xfId="0" applyAlignment="1" applyBorder="1" applyFont="1" applyNumberFormat="1">
      <alignment horizontal="center"/>
    </xf>
    <xf borderId="3" fillId="0" fontId="8" numFmtId="164" xfId="0" applyAlignment="1" applyBorder="1" applyFont="1" applyNumberFormat="1">
      <alignment horizontal="center"/>
    </xf>
    <xf borderId="57" fillId="6" fontId="8" numFmtId="164" xfId="0" applyAlignment="1" applyBorder="1" applyFont="1" applyNumberFormat="1">
      <alignment horizontal="center"/>
    </xf>
    <xf borderId="1" fillId="6" fontId="8" numFmtId="164" xfId="0" applyAlignment="1" applyBorder="1" applyFont="1" applyNumberFormat="1">
      <alignment horizontal="center"/>
    </xf>
    <xf borderId="1" fillId="7" fontId="4" numFmtId="1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1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3</v>
      </c>
      <c r="C2" s="8" t="s">
        <v>4</v>
      </c>
      <c r="D2" s="9" t="s">
        <v>5</v>
      </c>
      <c r="E2" s="10" t="s">
        <v>6</v>
      </c>
      <c r="F2" s="11" t="s">
        <v>7</v>
      </c>
      <c r="G2" s="12"/>
      <c r="H2" s="11" t="s">
        <v>8</v>
      </c>
      <c r="I2" s="13"/>
      <c r="J2" s="12"/>
      <c r="K2" s="14" t="s">
        <v>9</v>
      </c>
      <c r="L2" s="12"/>
      <c r="M2" s="8" t="s">
        <v>10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5"/>
      <c r="B3" s="16" t="s">
        <v>11</v>
      </c>
      <c r="C3" s="15"/>
      <c r="D3" s="16" t="s">
        <v>12</v>
      </c>
      <c r="E3" s="10" t="s">
        <v>13</v>
      </c>
      <c r="F3" s="17" t="s">
        <v>14</v>
      </c>
      <c r="G3" s="17" t="s">
        <v>15</v>
      </c>
      <c r="H3" s="17" t="s">
        <v>14</v>
      </c>
      <c r="I3" s="17" t="s">
        <v>15</v>
      </c>
      <c r="J3" s="17" t="s">
        <v>16</v>
      </c>
      <c r="K3" s="17" t="s">
        <v>14</v>
      </c>
      <c r="L3" s="17" t="s">
        <v>15</v>
      </c>
      <c r="M3" s="18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9" t="s">
        <v>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0" t="s">
        <v>18</v>
      </c>
      <c r="B5" s="4"/>
      <c r="C5" s="21" t="s">
        <v>19</v>
      </c>
      <c r="D5" s="4"/>
      <c r="E5" s="22" t="s">
        <v>20</v>
      </c>
      <c r="F5" s="3"/>
      <c r="G5" s="3"/>
      <c r="H5" s="3"/>
      <c r="I5" s="3"/>
      <c r="J5" s="3"/>
      <c r="K5" s="3"/>
      <c r="L5" s="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4" t="s">
        <v>21</v>
      </c>
      <c r="B7" s="25" t="s">
        <v>22</v>
      </c>
      <c r="C7" s="26" t="s">
        <v>23</v>
      </c>
      <c r="D7" s="27" t="s">
        <v>24</v>
      </c>
      <c r="E7" s="28">
        <v>231.0</v>
      </c>
      <c r="F7" s="29">
        <v>7.0</v>
      </c>
      <c r="G7" s="30"/>
      <c r="H7" s="31">
        <f t="shared" ref="H7:H8" si="1">IF(F7&gt;0,E7/33,0)</f>
        <v>7</v>
      </c>
      <c r="I7" s="32"/>
      <c r="J7" s="33">
        <f>SUM(H7:I10)</f>
        <v>18.90909091</v>
      </c>
      <c r="K7" s="34"/>
      <c r="L7" s="30"/>
      <c r="M7" s="35">
        <f t="shared" ref="M7:M20" si="2">IF(F7&gt;0,(E7-(F7*30)),0)+IF(G7&gt;0,(E7-(G7*21)),0)</f>
        <v>21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6"/>
      <c r="B8" s="36"/>
      <c r="C8" s="37" t="s">
        <v>25</v>
      </c>
      <c r="D8" s="38" t="s">
        <v>26</v>
      </c>
      <c r="E8" s="39">
        <v>99.0</v>
      </c>
      <c r="F8" s="40">
        <v>3.0</v>
      </c>
      <c r="G8" s="41"/>
      <c r="H8" s="42">
        <f t="shared" si="1"/>
        <v>3</v>
      </c>
      <c r="I8" s="43"/>
      <c r="J8" s="44"/>
      <c r="K8" s="45">
        <v>3.0</v>
      </c>
      <c r="L8" s="41"/>
      <c r="M8" s="35">
        <f t="shared" si="2"/>
        <v>9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6"/>
      <c r="B9" s="36"/>
      <c r="C9" s="37" t="s">
        <v>27</v>
      </c>
      <c r="D9" s="46" t="s">
        <v>28</v>
      </c>
      <c r="E9" s="39">
        <v>189.0</v>
      </c>
      <c r="F9" s="47"/>
      <c r="G9" s="48">
        <v>6.0</v>
      </c>
      <c r="H9" s="49"/>
      <c r="I9" s="50">
        <f t="shared" ref="I9:I10" si="3">IF(G9&gt;0,E9/33,0)</f>
        <v>5.727272727</v>
      </c>
      <c r="J9" s="44"/>
      <c r="K9" s="47"/>
      <c r="L9" s="51">
        <v>5.7</v>
      </c>
      <c r="M9" s="35">
        <f t="shared" si="2"/>
        <v>63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2"/>
      <c r="B10" s="52"/>
      <c r="C10" s="53" t="s">
        <v>29</v>
      </c>
      <c r="D10" s="54" t="s">
        <v>30</v>
      </c>
      <c r="E10" s="55">
        <v>105.0</v>
      </c>
      <c r="F10" s="56"/>
      <c r="G10" s="57">
        <v>3.0</v>
      </c>
      <c r="H10" s="58"/>
      <c r="I10" s="50">
        <f t="shared" si="3"/>
        <v>3.181818182</v>
      </c>
      <c r="J10" s="59"/>
      <c r="K10" s="56"/>
      <c r="L10" s="60"/>
      <c r="M10" s="61">
        <f t="shared" si="2"/>
        <v>42</v>
      </c>
      <c r="N10" s="62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5">
        <v>1555.0</v>
      </c>
      <c r="B11" s="25" t="s">
        <v>31</v>
      </c>
      <c r="C11" s="63" t="s">
        <v>32</v>
      </c>
      <c r="D11" s="64" t="s">
        <v>33</v>
      </c>
      <c r="E11" s="28">
        <v>231.0</v>
      </c>
      <c r="F11" s="29">
        <v>7.0</v>
      </c>
      <c r="G11" s="30"/>
      <c r="H11" s="31">
        <f t="shared" ref="H11:H12" si="4">IF(F11&gt;0,E11/33,0)</f>
        <v>7</v>
      </c>
      <c r="I11" s="32"/>
      <c r="J11" s="33">
        <f>SUM(H11:I14)</f>
        <v>24.09090909</v>
      </c>
      <c r="K11" s="65">
        <v>7.0</v>
      </c>
      <c r="L11" s="30"/>
      <c r="M11" s="66">
        <f t="shared" si="2"/>
        <v>21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6"/>
      <c r="B12" s="36"/>
      <c r="C12" s="67" t="s">
        <v>34</v>
      </c>
      <c r="D12" s="46" t="s">
        <v>35</v>
      </c>
      <c r="E12" s="39">
        <v>165.0</v>
      </c>
      <c r="F12" s="40">
        <v>5.0</v>
      </c>
      <c r="G12" s="41"/>
      <c r="H12" s="68">
        <f t="shared" si="4"/>
        <v>5</v>
      </c>
      <c r="I12" s="43"/>
      <c r="J12" s="44"/>
      <c r="K12" s="45">
        <v>5.0</v>
      </c>
      <c r="L12" s="41"/>
      <c r="M12" s="35">
        <f t="shared" si="2"/>
        <v>15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6"/>
      <c r="B13" s="36"/>
      <c r="C13" s="69" t="s">
        <v>36</v>
      </c>
      <c r="D13" s="70" t="s">
        <v>37</v>
      </c>
      <c r="E13" s="71">
        <v>231.0</v>
      </c>
      <c r="F13" s="72"/>
      <c r="G13" s="71">
        <v>7.0</v>
      </c>
      <c r="H13" s="49"/>
      <c r="I13" s="73">
        <v>7.0</v>
      </c>
      <c r="J13" s="44"/>
      <c r="K13" s="47"/>
      <c r="L13" s="41"/>
      <c r="M13" s="74">
        <f t="shared" si="2"/>
        <v>84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2"/>
      <c r="B14" s="52"/>
      <c r="C14" s="75" t="s">
        <v>38</v>
      </c>
      <c r="D14" s="54" t="s">
        <v>39</v>
      </c>
      <c r="E14" s="55">
        <v>168.0</v>
      </c>
      <c r="F14" s="56"/>
      <c r="G14" s="57">
        <v>5.0</v>
      </c>
      <c r="H14" s="58"/>
      <c r="I14" s="50">
        <f>IF(G14&gt;0,E14/33,0)</f>
        <v>5.090909091</v>
      </c>
      <c r="J14" s="59"/>
      <c r="K14" s="56"/>
      <c r="L14" s="76">
        <v>5.1</v>
      </c>
      <c r="M14" s="61">
        <f t="shared" si="2"/>
        <v>63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4" t="s">
        <v>40</v>
      </c>
      <c r="B15" s="25" t="s">
        <v>41</v>
      </c>
      <c r="C15" s="77" t="s">
        <v>42</v>
      </c>
      <c r="D15" s="78" t="s">
        <v>43</v>
      </c>
      <c r="E15" s="79"/>
      <c r="F15" s="80"/>
      <c r="G15" s="81"/>
      <c r="H15" s="82"/>
      <c r="I15" s="83"/>
      <c r="J15" s="33">
        <f>SUM(H15:I16)</f>
        <v>1.818181818</v>
      </c>
      <c r="K15" s="34"/>
      <c r="L15" s="30"/>
      <c r="M15" s="66">
        <f t="shared" si="2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2"/>
      <c r="B16" s="52"/>
      <c r="C16" s="84" t="s">
        <v>44</v>
      </c>
      <c r="D16" s="85" t="s">
        <v>45</v>
      </c>
      <c r="E16" s="86">
        <v>60.0</v>
      </c>
      <c r="F16" s="87">
        <v>2.0</v>
      </c>
      <c r="G16" s="60"/>
      <c r="H16" s="88">
        <f>IF(F16&gt;0,E16/33,0)</f>
        <v>1.818181818</v>
      </c>
      <c r="I16" s="89"/>
      <c r="J16" s="59"/>
      <c r="K16" s="56"/>
      <c r="L16" s="60"/>
      <c r="M16" s="61">
        <f t="shared" si="2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4" t="s">
        <v>46</v>
      </c>
      <c r="B17" s="25" t="s">
        <v>47</v>
      </c>
      <c r="C17" s="90" t="s">
        <v>48</v>
      </c>
      <c r="D17" s="91" t="s">
        <v>49</v>
      </c>
      <c r="E17" s="79"/>
      <c r="F17" s="92"/>
      <c r="G17" s="93"/>
      <c r="H17" s="94"/>
      <c r="I17" s="95"/>
      <c r="J17" s="33">
        <f>SUM(H17:I20)</f>
        <v>5.545454545</v>
      </c>
      <c r="K17" s="34"/>
      <c r="L17" s="30"/>
      <c r="M17" s="66">
        <f t="shared" si="2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6"/>
      <c r="B18" s="36"/>
      <c r="C18" s="96" t="s">
        <v>50</v>
      </c>
      <c r="D18" s="97" t="s">
        <v>51</v>
      </c>
      <c r="E18" s="98">
        <v>120.0</v>
      </c>
      <c r="F18" s="99">
        <v>4.0</v>
      </c>
      <c r="G18" s="41"/>
      <c r="H18" s="100">
        <f>IF(F18&gt;0,E18/33,0)</f>
        <v>3.636363636</v>
      </c>
      <c r="I18" s="43"/>
      <c r="J18" s="44"/>
      <c r="K18" s="47"/>
      <c r="L18" s="41"/>
      <c r="M18" s="66">
        <f t="shared" si="2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6"/>
      <c r="B19" s="36"/>
      <c r="C19" s="101" t="s">
        <v>52</v>
      </c>
      <c r="D19" s="102" t="s">
        <v>53</v>
      </c>
      <c r="E19" s="103"/>
      <c r="F19" s="104"/>
      <c r="G19" s="105"/>
      <c r="H19" s="94"/>
      <c r="I19" s="95"/>
      <c r="J19" s="44"/>
      <c r="K19" s="47"/>
      <c r="L19" s="41"/>
      <c r="M19" s="66">
        <f t="shared" si="2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2"/>
      <c r="B20" s="52"/>
      <c r="C20" s="96" t="s">
        <v>54</v>
      </c>
      <c r="D20" s="97" t="s">
        <v>55</v>
      </c>
      <c r="E20" s="86">
        <v>63.0</v>
      </c>
      <c r="F20" s="56"/>
      <c r="G20" s="106">
        <v>3.0</v>
      </c>
      <c r="H20" s="58"/>
      <c r="I20" s="107">
        <f>IF(G20&gt;0,E20/33,0)</f>
        <v>1.909090909</v>
      </c>
      <c r="J20" s="59"/>
      <c r="K20" s="56"/>
      <c r="L20" s="60"/>
      <c r="M20" s="61">
        <f t="shared" si="2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5" t="s">
        <v>56</v>
      </c>
      <c r="B21" s="25" t="s">
        <v>57</v>
      </c>
      <c r="C21" s="108" t="s">
        <v>58</v>
      </c>
      <c r="D21" s="109" t="s">
        <v>59</v>
      </c>
      <c r="E21" s="110">
        <v>60.0</v>
      </c>
      <c r="F21" s="111">
        <v>2.0</v>
      </c>
      <c r="G21" s="30"/>
      <c r="H21" s="112"/>
      <c r="I21" s="113"/>
      <c r="J21" s="33">
        <f>SUM(H21:I23)</f>
        <v>1.5</v>
      </c>
      <c r="K21" s="34"/>
      <c r="L21" s="30"/>
      <c r="M21" s="11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6"/>
      <c r="B22" s="36"/>
      <c r="C22" s="115" t="s">
        <v>60</v>
      </c>
      <c r="D22" s="116" t="s">
        <v>61</v>
      </c>
      <c r="E22" s="98">
        <v>42.0</v>
      </c>
      <c r="F22" s="47"/>
      <c r="G22" s="117">
        <v>2.0</v>
      </c>
      <c r="H22" s="112"/>
      <c r="I22" s="118"/>
      <c r="J22" s="44"/>
      <c r="K22" s="47"/>
      <c r="L22" s="41"/>
      <c r="M22" s="11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2"/>
      <c r="B23" s="52"/>
      <c r="C23" s="120"/>
      <c r="D23" s="121" t="s">
        <v>62</v>
      </c>
      <c r="E23" s="86">
        <v>50.0</v>
      </c>
      <c r="F23" s="56"/>
      <c r="G23" s="122"/>
      <c r="H23" s="58"/>
      <c r="I23" s="123">
        <v>1.5</v>
      </c>
      <c r="J23" s="59"/>
      <c r="K23" s="56"/>
      <c r="L23" s="60"/>
      <c r="M23" s="12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25" t="s">
        <v>63</v>
      </c>
      <c r="B24" s="126" t="s">
        <v>64</v>
      </c>
      <c r="C24" s="127"/>
      <c r="D24" s="128" t="s">
        <v>65</v>
      </c>
      <c r="E24" s="129">
        <v>84.0</v>
      </c>
      <c r="F24" s="130"/>
      <c r="G24" s="131">
        <v>4.0</v>
      </c>
      <c r="H24" s="112"/>
      <c r="I24" s="132"/>
      <c r="J24" s="132"/>
      <c r="K24" s="130"/>
      <c r="L24" s="133"/>
      <c r="M24" s="11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4" t="s">
        <v>66</v>
      </c>
      <c r="B25" s="3"/>
      <c r="C25" s="3"/>
      <c r="D25" s="135"/>
      <c r="E25" s="136"/>
      <c r="F25" s="137">
        <f t="shared" ref="F25:M25" si="5">SUM(F7:F24)</f>
        <v>30</v>
      </c>
      <c r="G25" s="138">
        <f t="shared" si="5"/>
        <v>30</v>
      </c>
      <c r="H25" s="139">
        <f t="shared" si="5"/>
        <v>27.45454545</v>
      </c>
      <c r="I25" s="139">
        <f t="shared" si="5"/>
        <v>24.40909091</v>
      </c>
      <c r="J25" s="140">
        <f t="shared" si="5"/>
        <v>51.86363636</v>
      </c>
      <c r="K25" s="137">
        <f t="shared" si="5"/>
        <v>15</v>
      </c>
      <c r="L25" s="138">
        <f t="shared" si="5"/>
        <v>10.8</v>
      </c>
      <c r="M25" s="141">
        <f t="shared" si="5"/>
        <v>318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8">
    <mergeCell ref="E5:M5"/>
    <mergeCell ref="A6:M6"/>
    <mergeCell ref="J7:J10"/>
    <mergeCell ref="J11:J14"/>
    <mergeCell ref="B1:M1"/>
    <mergeCell ref="C2:C3"/>
    <mergeCell ref="F2:G2"/>
    <mergeCell ref="H2:J2"/>
    <mergeCell ref="K2:L2"/>
    <mergeCell ref="M2:M3"/>
    <mergeCell ref="A4:M4"/>
    <mergeCell ref="A15:A16"/>
    <mergeCell ref="B15:B16"/>
    <mergeCell ref="J15:J16"/>
    <mergeCell ref="A17:A20"/>
    <mergeCell ref="B17:B20"/>
    <mergeCell ref="J17:J20"/>
    <mergeCell ref="A21:A23"/>
    <mergeCell ref="B21:B23"/>
    <mergeCell ref="J21:J23"/>
    <mergeCell ref="A25:D25"/>
    <mergeCell ref="A2:A3"/>
    <mergeCell ref="A5:B5"/>
    <mergeCell ref="C5:D5"/>
    <mergeCell ref="A7:A10"/>
    <mergeCell ref="B7:B10"/>
    <mergeCell ref="A11:A14"/>
    <mergeCell ref="B11:B14"/>
  </mergeCells>
  <drawing r:id="rId1"/>
</worksheet>
</file>